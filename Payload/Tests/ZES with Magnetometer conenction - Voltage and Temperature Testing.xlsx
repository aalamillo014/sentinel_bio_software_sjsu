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<sst xmlns="http://schemas.openxmlformats.org/spreadsheetml/2006/main" count="26" uniqueCount="14">
  <si>
    <t>Voltage &amp; Temperature Tesing</t>
  </si>
  <si>
    <t>Time (60 min)</t>
  </si>
  <si>
    <t>Current (A)</t>
  </si>
  <si>
    <t>Voltage (V)</t>
  </si>
  <si>
    <t>Temperature Average (F)</t>
  </si>
  <si>
    <t>Temperature Max (F)</t>
  </si>
  <si>
    <t>Temperature Minimum (F)</t>
  </si>
  <si>
    <t>Average (C)</t>
  </si>
  <si>
    <t>Sprint 4</t>
  </si>
  <si>
    <t xml:space="preserve">≤ 500mA </t>
  </si>
  <si>
    <t>Initial Room Temperature: 71 F</t>
  </si>
  <si>
    <t>Final Room Temperature:  72 F</t>
  </si>
  <si>
    <t>Max Part Temperature: 40C or 104F</t>
  </si>
  <si>
    <t xml:space="preserve">notes: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</si>
</sst>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2" fillId="3" fontId="1" numFmtId="0" xfId="0" applyAlignment="1" applyBorder="1" applyFill="1" applyFont="1">
      <alignment horizontal="center" readingOrder="0"/>
    </xf>
    <xf borderId="3" fillId="3" fontId="1" numFmtId="0" xfId="0" applyAlignment="1" applyBorder="1" applyFont="1">
      <alignment horizontal="center" readingOrder="0"/>
    </xf>
    <xf borderId="3" fillId="4" fontId="1" numFmtId="0" xfId="0" applyAlignment="1" applyBorder="1" applyFill="1" applyFont="1">
      <alignment horizontal="center" readingOrder="0"/>
    </xf>
    <xf borderId="4" fillId="5" fontId="1" numFmtId="0" xfId="0" applyAlignment="1" applyBorder="1" applyFill="1" applyFont="1">
      <alignment horizontal="center" readingOrder="0"/>
    </xf>
    <xf borderId="5" fillId="6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6" fillId="7" fontId="1" numFmtId="0" xfId="0" applyAlignment="1" applyBorder="1" applyFill="1" applyFont="1">
      <alignment readingOrder="0"/>
    </xf>
    <xf borderId="7" fillId="8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 vertical="bottom"/>
    </xf>
    <xf borderId="8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9" fillId="0" fontId="3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0" fillId="0" fontId="3" numFmtId="0" xfId="0" applyAlignment="1" applyBorder="1" applyFont="1">
      <alignment readingOrder="0"/>
    </xf>
    <xf borderId="7" fillId="8" fontId="3" numFmtId="0" xfId="0" applyAlignment="1" applyBorder="1" applyFont="1">
      <alignment horizontal="center"/>
    </xf>
    <xf borderId="5" fillId="9" fontId="3" numFmtId="0" xfId="0" applyAlignment="1" applyBorder="1" applyFill="1" applyFont="1">
      <alignment readingOrder="0"/>
    </xf>
    <xf borderId="11" fillId="8" fontId="3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center" vertical="bottom"/>
    </xf>
    <xf borderId="13" fillId="0" fontId="3" numFmtId="0" xfId="0" applyAlignment="1" applyBorder="1" applyFont="1">
      <alignment horizontal="center" readingOrder="0"/>
    </xf>
    <xf borderId="12" fillId="0" fontId="3" numFmtId="0" xfId="0" applyAlignment="1" applyBorder="1" applyFont="1">
      <alignment horizontal="center" readingOrder="0"/>
    </xf>
    <xf borderId="14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Temperature: Maximum, Minimum, and Average</a:t>
            </a:r>
          </a:p>
        </c:rich>
      </c:tx>
      <c:overlay val="0"/>
    </c:title>
    <c:plotArea>
      <c:layout/>
      <c:lineChart>
        <c:ser>
          <c:idx val="0"/>
          <c:order val="0"/>
          <c:tx>
            <c:v>Max</c:v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Sheet1!$D$3:$D$15</c:f>
            </c:strRef>
          </c:cat>
          <c:val>
            <c:numRef>
              <c:f>Sheet1!$H$3:$H$15</c:f>
              <c:numCache/>
            </c:numRef>
          </c:val>
          <c:smooth val="0"/>
        </c:ser>
        <c:ser>
          <c:idx val="1"/>
          <c:order val="1"/>
          <c:tx>
            <c:v>Min</c:v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Sheet1!$D$3:$D$15</c:f>
            </c:strRef>
          </c:cat>
          <c:val>
            <c:numRef>
              <c:f>Sheet1!$I$3:$I$15</c:f>
              <c:numCache/>
            </c:numRef>
          </c:val>
          <c:smooth val="0"/>
        </c:ser>
        <c:ser>
          <c:idx val="2"/>
          <c:order val="2"/>
          <c:tx>
            <c:v>Average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Sheet1!$D$3:$D$15</c:f>
            </c:strRef>
          </c:cat>
          <c:val>
            <c:numRef>
              <c:f>Sheet1!$G$3:$G$15</c:f>
              <c:numCache/>
            </c:numRef>
          </c:val>
          <c:smooth val="0"/>
        </c:ser>
        <c:axId val="1794790536"/>
        <c:axId val="941995201"/>
      </c:lineChart>
      <c:catAx>
        <c:axId val="1794790536"/>
        <c:scaling>
          <c:orientation val="minMax"/>
          <c:max val="6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1995201"/>
      </c:catAx>
      <c:valAx>
        <c:axId val="941995201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 (F)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4790536"/>
        <c:majorUnit val="1.0"/>
      </c:valAx>
      <c:lineChart>
        <c:varyColors val="0"/>
        <c:ser>
          <c:idx val="3"/>
          <c:order val="3"/>
          <c:spPr>
            <a:ln cmpd="sng">
              <a:solidFill>
                <a:srgbClr val="FFFFFF">
                  <a:alpha val="0"/>
                </a:srgbClr>
              </a:solidFill>
            </a:ln>
          </c:spPr>
          <c:marker>
            <c:symbol val="none"/>
          </c:marker>
          <c:cat>
            <c:strRef>
              <c:f>Sheet1!$D$3:$D$15</c:f>
            </c:strRef>
          </c:cat>
          <c:val>
            <c:numRef>
              <c:f>Sheet1!$J$3:$J$15</c:f>
              <c:numCache/>
            </c:numRef>
          </c:val>
          <c:smooth val="0"/>
        </c:ser>
        <c:axId val="476318931"/>
        <c:axId val="1134334066"/>
      </c:lineChart>
      <c:catAx>
        <c:axId val="476318931"/>
        <c:scaling>
          <c:orientation val="minMax"/>
          <c:max val="60.0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4334066"/>
      </c:catAx>
      <c:valAx>
        <c:axId val="1134334066"/>
        <c:scaling>
          <c:orientation val="minMax"/>
          <c:max val="26.6666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6318931"/>
        <c:crosses val="max"/>
      </c:valAx>
    </c:plotArea>
    <c:legend>
      <c:legendPos val="r"/>
      <c:legendEntry>
        <c:idx val="3"/>
        <c:txPr>
          <a:bodyPr/>
          <a:lstStyle/>
          <a:p>
            <a:pPr lvl="0">
              <a:defRPr>
                <a:solidFill>
                  <a:srgbClr val="FFFFFF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495300</xdr:colOff>
      <xdr:row>15</xdr:row>
      <xdr:rowOff>190500</xdr:rowOff>
    </xdr:from>
    <xdr:ext cx="5715000" cy="3533775"/>
    <xdr:graphicFrame>
      <xdr:nvGraphicFramePr>
        <xdr:cNvPr id="1" name="Chart 1" title="Temperature: Maximum, Minimum, and Averag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28.88"/>
    <col customWidth="1" min="3" max="3" width="3.88"/>
    <col customWidth="1" min="5" max="5" width="10.63"/>
    <col customWidth="1" min="6" max="6" width="11.5"/>
    <col customWidth="1" min="7" max="7" width="21.13"/>
    <col customWidth="1" min="8" max="8" width="18.13"/>
    <col customWidth="1" min="9" max="9" width="23.0"/>
    <col customWidth="1" min="10" max="10" width="3.13"/>
  </cols>
  <sheetData>
    <row r="1">
      <c r="A1" s="1"/>
      <c r="B1" s="1"/>
      <c r="C1" s="1"/>
    </row>
    <row r="2">
      <c r="A2" s="1"/>
      <c r="B2" s="2" t="s">
        <v>0</v>
      </c>
      <c r="C2" s="1"/>
      <c r="D2" s="3" t="s">
        <v>1</v>
      </c>
      <c r="E2" s="4" t="s">
        <v>2</v>
      </c>
      <c r="F2" s="4" t="s">
        <v>3</v>
      </c>
      <c r="G2" s="5" t="s">
        <v>4</v>
      </c>
      <c r="H2" s="6" t="s">
        <v>5</v>
      </c>
      <c r="I2" s="7" t="s">
        <v>6</v>
      </c>
      <c r="J2" s="8" t="s">
        <v>7</v>
      </c>
    </row>
    <row r="3">
      <c r="A3" s="1"/>
      <c r="B3" s="9" t="s">
        <v>8</v>
      </c>
      <c r="C3" s="1"/>
      <c r="D3" s="10">
        <v>0.0</v>
      </c>
      <c r="E3" s="11" t="s">
        <v>9</v>
      </c>
      <c r="F3" s="12">
        <v>5.08</v>
      </c>
      <c r="G3" s="13">
        <v>73.4</v>
      </c>
      <c r="H3" s="13">
        <v>74.3</v>
      </c>
      <c r="I3" s="14">
        <v>73.0</v>
      </c>
      <c r="J3" s="15">
        <f t="shared" ref="J3:J15" si="1">(G3-32)*(5/9)</f>
        <v>23</v>
      </c>
    </row>
    <row r="4">
      <c r="A4" s="16"/>
      <c r="B4" s="17" t="s">
        <v>10</v>
      </c>
      <c r="C4" s="16"/>
      <c r="D4" s="10">
        <v>5.0</v>
      </c>
      <c r="E4" s="11" t="s">
        <v>9</v>
      </c>
      <c r="F4" s="12">
        <v>5.08</v>
      </c>
      <c r="G4" s="13">
        <v>70.7</v>
      </c>
      <c r="H4" s="13">
        <v>71.8</v>
      </c>
      <c r="I4" s="14">
        <v>69.8</v>
      </c>
      <c r="J4" s="15">
        <f t="shared" si="1"/>
        <v>21.5</v>
      </c>
    </row>
    <row r="5">
      <c r="B5" s="18" t="s">
        <v>11</v>
      </c>
      <c r="D5" s="19">
        <f t="shared" ref="D5:D14" si="2">D4+5</f>
        <v>10</v>
      </c>
      <c r="E5" s="11" t="s">
        <v>9</v>
      </c>
      <c r="F5" s="12">
        <v>5.07</v>
      </c>
      <c r="G5" s="13">
        <v>73.8</v>
      </c>
      <c r="H5" s="13">
        <v>74.7</v>
      </c>
      <c r="I5" s="14">
        <v>73.0</v>
      </c>
      <c r="J5" s="15">
        <f t="shared" si="1"/>
        <v>23.22222222</v>
      </c>
    </row>
    <row r="6">
      <c r="D6" s="19">
        <f t="shared" si="2"/>
        <v>15</v>
      </c>
      <c r="E6" s="11" t="s">
        <v>9</v>
      </c>
      <c r="F6" s="12">
        <v>5.06</v>
      </c>
      <c r="G6" s="13">
        <v>72.1</v>
      </c>
      <c r="H6" s="13">
        <v>72.9</v>
      </c>
      <c r="I6" s="14">
        <v>71.4</v>
      </c>
      <c r="J6" s="15">
        <f t="shared" si="1"/>
        <v>22.27777778</v>
      </c>
    </row>
    <row r="7">
      <c r="B7" s="20" t="s">
        <v>12</v>
      </c>
      <c r="D7" s="19">
        <f t="shared" si="2"/>
        <v>20</v>
      </c>
      <c r="E7" s="11" t="s">
        <v>9</v>
      </c>
      <c r="F7" s="12">
        <v>5.07</v>
      </c>
      <c r="G7" s="13">
        <v>68.9</v>
      </c>
      <c r="H7" s="13">
        <v>69.4</v>
      </c>
      <c r="I7" s="14">
        <v>67.8</v>
      </c>
      <c r="J7" s="15">
        <f t="shared" si="1"/>
        <v>20.5</v>
      </c>
    </row>
    <row r="8">
      <c r="D8" s="19">
        <f t="shared" si="2"/>
        <v>25</v>
      </c>
      <c r="E8" s="11" t="s">
        <v>9</v>
      </c>
      <c r="F8" s="12">
        <v>5.07</v>
      </c>
      <c r="G8" s="13">
        <v>73.0</v>
      </c>
      <c r="H8" s="13">
        <v>73.6</v>
      </c>
      <c r="I8" s="14">
        <v>72.3</v>
      </c>
      <c r="J8" s="15">
        <f t="shared" si="1"/>
        <v>22.77777778</v>
      </c>
    </row>
    <row r="9">
      <c r="D9" s="19">
        <f t="shared" si="2"/>
        <v>30</v>
      </c>
      <c r="E9" s="11" t="s">
        <v>9</v>
      </c>
      <c r="F9" s="12">
        <v>5.07</v>
      </c>
      <c r="G9" s="13">
        <v>74.8</v>
      </c>
      <c r="H9" s="13">
        <v>75.6</v>
      </c>
      <c r="I9" s="14">
        <v>73.9</v>
      </c>
      <c r="J9" s="15">
        <f t="shared" si="1"/>
        <v>23.77777778</v>
      </c>
    </row>
    <row r="10">
      <c r="D10" s="19">
        <f t="shared" si="2"/>
        <v>35</v>
      </c>
      <c r="E10" s="11" t="s">
        <v>9</v>
      </c>
      <c r="F10" s="12">
        <v>5.07</v>
      </c>
      <c r="G10" s="13">
        <v>74.5</v>
      </c>
      <c r="H10" s="13">
        <v>75.2</v>
      </c>
      <c r="I10" s="14">
        <v>73.6</v>
      </c>
      <c r="J10" s="15">
        <f t="shared" si="1"/>
        <v>23.61111111</v>
      </c>
    </row>
    <row r="11">
      <c r="D11" s="19">
        <f t="shared" si="2"/>
        <v>40</v>
      </c>
      <c r="E11" s="11" t="s">
        <v>9</v>
      </c>
      <c r="F11" s="12">
        <v>5.08</v>
      </c>
      <c r="G11" s="13">
        <v>74.7</v>
      </c>
      <c r="H11" s="13">
        <v>75.2</v>
      </c>
      <c r="I11" s="14">
        <v>73.8</v>
      </c>
      <c r="J11" s="15">
        <f t="shared" si="1"/>
        <v>23.72222222</v>
      </c>
    </row>
    <row r="12">
      <c r="D12" s="19">
        <f t="shared" si="2"/>
        <v>45</v>
      </c>
      <c r="E12" s="11" t="s">
        <v>9</v>
      </c>
      <c r="F12" s="12">
        <v>5.05</v>
      </c>
      <c r="G12" s="13">
        <v>73.0</v>
      </c>
      <c r="H12" s="13">
        <v>73.6</v>
      </c>
      <c r="I12" s="14">
        <v>72.3</v>
      </c>
      <c r="J12" s="15">
        <f t="shared" si="1"/>
        <v>22.77777778</v>
      </c>
    </row>
    <row r="13">
      <c r="D13" s="19">
        <f t="shared" si="2"/>
        <v>50</v>
      </c>
      <c r="E13" s="11" t="s">
        <v>9</v>
      </c>
      <c r="F13" s="12">
        <v>5.06</v>
      </c>
      <c r="G13" s="13">
        <v>75.6</v>
      </c>
      <c r="H13" s="13">
        <v>76.3</v>
      </c>
      <c r="I13" s="14">
        <v>74.8</v>
      </c>
      <c r="J13" s="15">
        <f t="shared" si="1"/>
        <v>24.22222222</v>
      </c>
    </row>
    <row r="14">
      <c r="D14" s="19">
        <f t="shared" si="2"/>
        <v>55</v>
      </c>
      <c r="E14" s="11" t="s">
        <v>9</v>
      </c>
      <c r="F14" s="12">
        <v>5.08</v>
      </c>
      <c r="G14" s="13">
        <v>73.4</v>
      </c>
      <c r="H14" s="13">
        <v>74.1</v>
      </c>
      <c r="I14" s="14">
        <v>72.5</v>
      </c>
      <c r="J14" s="15">
        <f t="shared" si="1"/>
        <v>23</v>
      </c>
    </row>
    <row r="15">
      <c r="D15" s="21">
        <v>60.0</v>
      </c>
      <c r="E15" s="22" t="s">
        <v>9</v>
      </c>
      <c r="F15" s="23">
        <v>5.05</v>
      </c>
      <c r="G15" s="24">
        <v>70.3</v>
      </c>
      <c r="H15" s="24">
        <v>71.1</v>
      </c>
      <c r="I15" s="25">
        <v>69.6</v>
      </c>
      <c r="J15" s="15">
        <f t="shared" si="1"/>
        <v>21.27777778</v>
      </c>
    </row>
    <row r="17">
      <c r="B17" s="1" t="s">
        <v>13</v>
      </c>
    </row>
    <row r="20">
      <c r="B20" s="16"/>
    </row>
    <row r="35">
      <c r="A35" s="1"/>
      <c r="C35" s="1"/>
    </row>
  </sheetData>
  <drawing r:id="rId1"/>
</worksheet>
</file>